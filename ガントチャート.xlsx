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filterPrivacy="1" codeName="ThisWorkbook"/>
  <xr:revisionPtr revIDLastSave="198" documentId="13_ncr:1_{76B1D2E1-5B02-4689-888F-FD9F5C863FF6}" xr6:coauthVersionLast="47" xr6:coauthVersionMax="47" xr10:uidLastSave="{16029EFD-5279-4BF3-95C9-00E89BA57826}"/>
  <bookViews>
    <workbookView xWindow="-120" yWindow="-120" windowWidth="28980" windowHeight="16215" xr2:uid="{00000000-000D-0000-FFFF-FFFF00000000}"/>
  </bookViews>
  <sheets>
    <sheet name="プロジェクトのスケジュール" sheetId="11" r:id="rId1"/>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F30" i="11"/>
  <c r="F29" i="11"/>
  <c r="F27" i="11"/>
  <c r="F28" i="11"/>
  <c r="F25" i="11"/>
  <c r="F24" i="11"/>
  <c r="F23" i="11"/>
  <c r="F22" i="11"/>
  <c r="F21" i="11"/>
  <c r="F10" i="11"/>
  <c r="F9" i="11"/>
  <c r="F19" i="11"/>
  <c r="F16" i="11"/>
  <c r="F15" i="11"/>
  <c r="F13" i="11"/>
  <c r="F12" i="11"/>
  <c r="F11" i="11"/>
  <c r="CH5" i="11"/>
  <c r="CH4" i="11" s="1"/>
  <c r="CI5" i="11"/>
  <c r="CJ5" i="11"/>
  <c r="CK5" i="11"/>
  <c r="CL5" i="11"/>
  <c r="CM5" i="11"/>
  <c r="CN5" i="11"/>
  <c r="CH6" i="11"/>
  <c r="CI6" i="11"/>
  <c r="CJ6" i="11"/>
  <c r="CK6" i="11"/>
  <c r="CL6" i="11"/>
  <c r="CM6" i="11"/>
  <c r="CN6" i="11"/>
  <c r="BT5" i="11"/>
  <c r="BT4" i="11" s="1"/>
  <c r="BU5" i="11"/>
  <c r="BV5" i="11"/>
  <c r="BW5" i="11"/>
  <c r="BX5" i="11"/>
  <c r="BY5" i="11"/>
  <c r="BZ5" i="11"/>
  <c r="CA5" i="11"/>
  <c r="CA4" i="11" s="1"/>
  <c r="CB5" i="11"/>
  <c r="CC5" i="11"/>
  <c r="CD5" i="11"/>
  <c r="CE5" i="11"/>
  <c r="CF5" i="11"/>
  <c r="CG5" i="11"/>
  <c r="BT6" i="11"/>
  <c r="BU6" i="11"/>
  <c r="BV6" i="11"/>
  <c r="BW6" i="11"/>
  <c r="BX6" i="11"/>
  <c r="BY6" i="11"/>
  <c r="BZ6" i="11"/>
  <c r="CA6" i="11"/>
  <c r="CB6" i="11"/>
  <c r="CC6" i="11"/>
  <c r="CD6" i="11"/>
  <c r="CE6" i="11"/>
  <c r="CF6" i="11"/>
  <c r="CG6" i="11"/>
  <c r="BM5" i="11"/>
  <c r="BM4" i="11" s="1"/>
  <c r="BN5" i="11"/>
  <c r="BO5" i="11"/>
  <c r="BP5" i="11"/>
  <c r="BQ5" i="11"/>
  <c r="BR5" i="11"/>
  <c r="BS5" i="11"/>
  <c r="BM6" i="11"/>
  <c r="BN6" i="11"/>
  <c r="BO6" i="11"/>
  <c r="BP6" i="11"/>
  <c r="BQ6" i="11"/>
  <c r="BR6" i="11"/>
  <c r="BS6" i="11"/>
  <c r="H7" i="11"/>
  <c r="H22" i="11" l="1"/>
  <c r="I5" i="11"/>
  <c r="I6" i="11" s="1"/>
  <c r="H33" i="11"/>
  <c r="H32" i="11"/>
  <c r="H31" i="11"/>
  <c r="H30" i="11"/>
  <c r="H29" i="11"/>
  <c r="H28" i="11"/>
  <c r="H26" i="11"/>
  <c r="H21" i="11"/>
  <c r="H20" i="11"/>
  <c r="H14" i="11"/>
  <c r="H8" i="11"/>
  <c r="H9" i="11" l="1"/>
  <c r="H27" i="11" l="1"/>
  <c r="H25" i="11"/>
  <c r="H10" i="11"/>
  <c r="H23" i="11"/>
  <c r="H15" i="11"/>
  <c r="H13" i="11"/>
  <c r="J5" i="11"/>
  <c r="K5" i="11" l="1"/>
  <c r="L5" i="11" l="1"/>
  <c r="M5" i="11" l="1"/>
  <c r="N5" i="11" l="1"/>
  <c r="O5" i="11" l="1"/>
  <c r="P5" i="11" l="1"/>
  <c r="P6" i="11" s="1"/>
  <c r="O6" i="11"/>
  <c r="N6" i="11"/>
  <c r="M6" i="11"/>
  <c r="L6" i="11"/>
  <c r="K6" i="11"/>
  <c r="J6" i="11"/>
  <c r="I4" i="11"/>
  <c r="H24" i="11" l="1"/>
  <c r="H16" i="11"/>
  <c r="H11" i="11"/>
  <c r="H12" i="11"/>
  <c r="P4" i="11"/>
  <c r="Q5" i="11"/>
  <c r="R5" i="11" l="1"/>
  <c r="S5" i="11" l="1"/>
  <c r="T5" i="11" l="1"/>
  <c r="U5" i="11" l="1"/>
  <c r="V5" i="11" l="1"/>
  <c r="W5" i="11" l="1"/>
  <c r="W6" i="11" s="1"/>
  <c r="V6" i="11"/>
  <c r="U6" i="11"/>
  <c r="T6" i="11"/>
  <c r="S6" i="11"/>
  <c r="R6" i="11"/>
  <c r="Q6" i="11"/>
  <c r="H19" i="11"/>
  <c r="F18" i="11"/>
  <c r="H18" i="11" s="1"/>
  <c r="F17" i="11"/>
  <c r="H17" i="11" s="1"/>
  <c r="W4" i="11"/>
  <c r="X5" i="11"/>
  <c r="Y5" i="11" l="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c r="AS5" i="11" l="1"/>
  <c r="AS6" i="11" s="1"/>
  <c r="AR6" i="11"/>
  <c r="AK4" i="11"/>
  <c r="AT5" i="11" l="1"/>
  <c r="AT6" i="11" s="1"/>
  <c r="AR4" i="11"/>
  <c r="AU5" i="11" l="1"/>
  <c r="AU6" i="11" s="1"/>
  <c r="AV5" i="11" l="1"/>
  <c r="AV6" i="11" s="1"/>
  <c r="AW5" i="11" l="1"/>
  <c r="AW6" i="11" s="1"/>
  <c r="AX5" i="11" l="1"/>
  <c r="AY5" i="11" l="1"/>
  <c r="AY6" i="11" s="1"/>
  <c r="AX6" i="11"/>
  <c r="AZ5" i="11"/>
  <c r="AZ6" i="11" s="1"/>
  <c r="AY4" i="1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alcChain>
</file>

<file path=xl/sharedStrings.xml><?xml version="1.0" encoding="utf-8"?>
<sst xmlns="http://schemas.openxmlformats.org/spreadsheetml/2006/main" count="51" uniqueCount="50">
  <si>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</si>
  <si>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進級制作</t>
  </si>
  <si>
    <t>シンプル ガント チャート (Vertex42.com)</t>
  </si>
  <si>
    <t>セル B2 には会社の名前を入力します。</t>
  </si>
  <si>
    <t>1年63組</t>
  </si>
  <si>
    <t>https://www.vertex42.com/ExcelTemplates/simple-gantt-chart.html</t>
  </si>
  <si>
    <t>セル B3 に、プロジェクト主任の名前を入力します。セル E3 には、プロジェクトの開始日を入力します。プロジェクトの開始: ラベルはセル C3 にあります。</t>
  </si>
  <si>
    <t>前田恭兵</t>
  </si>
  <si>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</si>
  <si>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</si>
  <si>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</si>
  <si>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</si>
  <si>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</si>
  <si>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</si>
  <si>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</si>
  <si>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</si>
  <si>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</si>
  <si>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</si>
  <si>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</si>
  <si>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企画＆プロトタイプ制作</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</si>
  <si>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</si>
  <si>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企画</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</si>
  <si>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</si>
  <si>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プロトタイプ制作</t>
  </si>
  <si>
    <t>基本ロジック</t>
  </si>
  <si>
    <t>挙動プロト</t>
  </si>
  <si>
    <t>仮モデル配置</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</si>
  <si>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</si>
  <si>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α制作</t>
  </si>
  <si>
    <t>敵AI構築</t>
  </si>
  <si>
    <t>UI基盤実装</t>
  </si>
  <si>
    <t>当たり判定</t>
  </si>
  <si>
    <t>アニメ遷移</t>
  </si>
  <si>
    <t>プレハブ化</t>
  </si>
  <si>
    <t>サンプル フェーズ タイトル ブロック</t>
  </si>
  <si>
    <t>β制作</t>
  </si>
  <si>
    <t>ギミック量産</t>
  </si>
  <si>
    <t>モーション紐付け</t>
  </si>
  <si>
    <t>エフェクト同期</t>
  </si>
  <si>
    <t>カメラ演出</t>
  </si>
  <si>
    <t>セーブ実装</t>
  </si>
  <si>
    <t>マスター制作</t>
  </si>
  <si>
    <t>全体バグ修正</t>
  </si>
  <si>
    <t>手触り調整</t>
  </si>
  <si>
    <t>処理負担軽減</t>
  </si>
  <si>
    <t>実機ビルド</t>
  </si>
  <si>
    <t>最終ポリッシュ</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</si>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</sst>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30">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8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Fill="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1" fillId="4" borderId="2" xfId="10" applyFill="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1" fillId="11" borderId="2" xfId="10"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Fill="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0" fontId="1" fillId="0" borderId="0" xfId="8" applyAlignment="1">
      <alignment horizontal="right" indent="1"/>
    </xf>
    <xf numFmtId="0" fontId="1" fillId="0" borderId="7" xfId="8" applyBorder="1" applyAlignment="1">
      <alignment horizontal="right" indent="1"/>
    </xf>
    <xf numFmtId="179" fontId="1" fillId="0" borderId="3" xfId="9" applyAlignmen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36"/>
  <sheetViews>
    <sheetView showGridLines="0" tabSelected="1" showRuler="0" zoomScaleNormal="100" zoomScalePageLayoutView="70" workbookViewId="0">
      <pane ySplit="5" topLeftCell="A6" activePane="bottomLeft" state="frozen"/>
      <selection pane="bottomLeft" activeCell="B4" sqref="B4"/>
    </sheetView>
  </sheetViews>
  <sheetFormatPr defaultRowHeight="30" customHeight="1"/>
  <cols>
    <col min="1" max="1" width="2.5546875" style="8" customWidth="1"/>
    <col min="2" max="2" width="19.77734375" customWidth="1"/>
    <col min="3" max="3" width="30.5546875" customWidth="1"/>
    <col min="4" max="4" width="10.5546875" customWidth="1"/>
    <col min="5" max="5" width="10.21875" style="2" customWidth="1"/>
    <col min="6" max="6" width="10.21875" customWidth="1"/>
    <col min="7" max="7" width="2.5546875" customWidth="1"/>
    <col min="8" max="8" width="6" hidden="1" customWidth="1"/>
    <col min="9" max="64" width="2.44140625" customWidth="1"/>
    <col min="65" max="92" width="2.33203125" customWidth="1"/>
  </cols>
  <sheetData>
    <row r="1" spans="1:92" ht="30" customHeight="1">
      <c r="A1" s="9" t="s">
        <v>0</v>
      </c>
      <c r="B1" s="11" t="s">
        <v>1</v>
      </c>
      <c r="C1" s="29"/>
      <c r="D1" s="30"/>
      <c r="E1" s="31"/>
      <c r="F1" s="32"/>
      <c r="H1" s="30"/>
      <c r="I1" s="33" t="s">
        <v>2</v>
      </c>
    </row>
    <row r="2" spans="1:92" ht="30" customHeight="1">
      <c r="A2" s="8" t="s">
        <v>3</v>
      </c>
      <c r="B2" s="12" t="s">
        <v>4</v>
      </c>
      <c r="I2" s="34" t="s">
        <v>5</v>
      </c>
    </row>
    <row r="3" spans="1:92" ht="30" customHeight="1">
      <c r="A3" s="8" t="s">
        <v>6</v>
      </c>
      <c r="B3" s="13" t="s">
        <v>7</v>
      </c>
      <c r="C3" s="80" t="s">
        <v>8</v>
      </c>
      <c r="D3" s="81"/>
      <c r="E3" s="82">
        <v>46023</v>
      </c>
      <c r="F3" s="82"/>
    </row>
    <row r="4" spans="1:92" ht="30" customHeight="1">
      <c r="A4" s="9" t="s">
        <v>9</v>
      </c>
      <c r="C4" s="80" t="s">
        <v>10</v>
      </c>
      <c r="D4" s="81"/>
      <c r="E4" s="4">
        <v>1</v>
      </c>
      <c r="I4" s="77">
        <f>I5</f>
        <v>46020</v>
      </c>
      <c r="J4" s="78"/>
      <c r="K4" s="78"/>
      <c r="L4" s="78"/>
      <c r="M4" s="78"/>
      <c r="N4" s="78"/>
      <c r="O4" s="79"/>
      <c r="P4" s="77">
        <f>P5</f>
        <v>46027</v>
      </c>
      <c r="Q4" s="78"/>
      <c r="R4" s="78"/>
      <c r="S4" s="78"/>
      <c r="T4" s="78"/>
      <c r="U4" s="78"/>
      <c r="V4" s="79"/>
      <c r="W4" s="77">
        <f>W5</f>
        <v>46034</v>
      </c>
      <c r="X4" s="78"/>
      <c r="Y4" s="78"/>
      <c r="Z4" s="78"/>
      <c r="AA4" s="78"/>
      <c r="AB4" s="78"/>
      <c r="AC4" s="79"/>
      <c r="AD4" s="77">
        <f>AD5</f>
        <v>46041</v>
      </c>
      <c r="AE4" s="78"/>
      <c r="AF4" s="78"/>
      <c r="AG4" s="78"/>
      <c r="AH4" s="78"/>
      <c r="AI4" s="78"/>
      <c r="AJ4" s="79"/>
      <c r="AK4" s="77">
        <f>AK5</f>
        <v>46048</v>
      </c>
      <c r="AL4" s="78"/>
      <c r="AM4" s="78"/>
      <c r="AN4" s="78"/>
      <c r="AO4" s="78"/>
      <c r="AP4" s="78"/>
      <c r="AQ4" s="79"/>
      <c r="AR4" s="77">
        <f>AR5</f>
        <v>46055</v>
      </c>
      <c r="AS4" s="78"/>
      <c r="AT4" s="78"/>
      <c r="AU4" s="78"/>
      <c r="AV4" s="78"/>
      <c r="AW4" s="78"/>
      <c r="AX4" s="79"/>
      <c r="AY4" s="77">
        <f>AY5</f>
        <v>46062</v>
      </c>
      <c r="AZ4" s="78"/>
      <c r="BA4" s="78"/>
      <c r="BB4" s="78"/>
      <c r="BC4" s="78"/>
      <c r="BD4" s="78"/>
      <c r="BE4" s="79"/>
      <c r="BF4" s="77">
        <f>BF5</f>
        <v>46069</v>
      </c>
      <c r="BG4" s="78"/>
      <c r="BH4" s="78"/>
      <c r="BI4" s="78"/>
      <c r="BJ4" s="78"/>
      <c r="BK4" s="78"/>
      <c r="BL4" s="79"/>
      <c r="BM4" s="77">
        <f>BM5</f>
        <v>46076</v>
      </c>
      <c r="BN4" s="78"/>
      <c r="BO4" s="78"/>
      <c r="BP4" s="78"/>
      <c r="BQ4" s="78"/>
      <c r="BR4" s="78"/>
      <c r="BS4" s="79"/>
      <c r="BT4" s="77">
        <f>BT5</f>
        <v>46083</v>
      </c>
      <c r="BU4" s="78"/>
      <c r="BV4" s="78"/>
      <c r="BW4" s="78"/>
      <c r="BX4" s="78"/>
      <c r="BY4" s="78"/>
      <c r="BZ4" s="79"/>
      <c r="CA4" s="77">
        <f>CA5</f>
        <v>46090</v>
      </c>
      <c r="CB4" s="78"/>
      <c r="CC4" s="78"/>
      <c r="CD4" s="78"/>
      <c r="CE4" s="78"/>
      <c r="CF4" s="78"/>
      <c r="CG4" s="79"/>
      <c r="CH4" s="77">
        <f>CH5</f>
        <v>46097</v>
      </c>
      <c r="CI4" s="78"/>
      <c r="CJ4" s="78"/>
      <c r="CK4" s="78"/>
      <c r="CL4" s="78"/>
      <c r="CM4" s="78"/>
      <c r="CN4" s="79"/>
    </row>
    <row r="5" spans="1:92" ht="15" customHeight="1">
      <c r="A5" s="9" t="s">
        <v>11</v>
      </c>
      <c r="B5" s="28"/>
      <c r="C5" s="28"/>
      <c r="D5" s="28"/>
      <c r="E5" s="28"/>
      <c r="F5" s="28"/>
      <c r="G5" s="28"/>
      <c r="I5" s="74">
        <f>プロジェクトの開始-WEEKDAY(プロジェクトの開始,1)+2+7*(週表示-1)</f>
        <v>46020</v>
      </c>
      <c r="J5" s="75">
        <f>I5+1</f>
        <v>46021</v>
      </c>
      <c r="K5" s="75">
        <f t="shared" ref="K5:AX5" si="0">J5+1</f>
        <v>46022</v>
      </c>
      <c r="L5" s="75">
        <f t="shared" si="0"/>
        <v>46023</v>
      </c>
      <c r="M5" s="75">
        <f t="shared" si="0"/>
        <v>46024</v>
      </c>
      <c r="N5" s="75">
        <f t="shared" si="0"/>
        <v>46025</v>
      </c>
      <c r="O5" s="76">
        <f t="shared" si="0"/>
        <v>46026</v>
      </c>
      <c r="P5" s="74">
        <f>O5+1</f>
        <v>46027</v>
      </c>
      <c r="Q5" s="75">
        <f>P5+1</f>
        <v>46028</v>
      </c>
      <c r="R5" s="75">
        <f t="shared" si="0"/>
        <v>46029</v>
      </c>
      <c r="S5" s="75">
        <f t="shared" si="0"/>
        <v>46030</v>
      </c>
      <c r="T5" s="75">
        <f t="shared" si="0"/>
        <v>46031</v>
      </c>
      <c r="U5" s="75">
        <f t="shared" si="0"/>
        <v>46032</v>
      </c>
      <c r="V5" s="76">
        <f t="shared" si="0"/>
        <v>46033</v>
      </c>
      <c r="W5" s="74">
        <f>V5+1</f>
        <v>46034</v>
      </c>
      <c r="X5" s="75">
        <f>W5+1</f>
        <v>46035</v>
      </c>
      <c r="Y5" s="75">
        <f t="shared" si="0"/>
        <v>46036</v>
      </c>
      <c r="Z5" s="75">
        <f t="shared" si="0"/>
        <v>46037</v>
      </c>
      <c r="AA5" s="75">
        <f t="shared" si="0"/>
        <v>46038</v>
      </c>
      <c r="AB5" s="75">
        <f t="shared" si="0"/>
        <v>46039</v>
      </c>
      <c r="AC5" s="76">
        <f t="shared" si="0"/>
        <v>46040</v>
      </c>
      <c r="AD5" s="74">
        <f>AC5+1</f>
        <v>46041</v>
      </c>
      <c r="AE5" s="75">
        <f>AD5+1</f>
        <v>46042</v>
      </c>
      <c r="AF5" s="75">
        <f t="shared" si="0"/>
        <v>46043</v>
      </c>
      <c r="AG5" s="75">
        <f t="shared" si="0"/>
        <v>46044</v>
      </c>
      <c r="AH5" s="75">
        <f t="shared" si="0"/>
        <v>46045</v>
      </c>
      <c r="AI5" s="75">
        <f t="shared" si="0"/>
        <v>46046</v>
      </c>
      <c r="AJ5" s="76">
        <f t="shared" si="0"/>
        <v>46047</v>
      </c>
      <c r="AK5" s="74">
        <f>AJ5+1</f>
        <v>46048</v>
      </c>
      <c r="AL5" s="75">
        <f>AK5+1</f>
        <v>46049</v>
      </c>
      <c r="AM5" s="75">
        <f t="shared" si="0"/>
        <v>46050</v>
      </c>
      <c r="AN5" s="75">
        <f t="shared" si="0"/>
        <v>46051</v>
      </c>
      <c r="AO5" s="75">
        <f t="shared" si="0"/>
        <v>46052</v>
      </c>
      <c r="AP5" s="75">
        <f t="shared" si="0"/>
        <v>46053</v>
      </c>
      <c r="AQ5" s="76">
        <f t="shared" si="0"/>
        <v>46054</v>
      </c>
      <c r="AR5" s="74">
        <f>AQ5+1</f>
        <v>46055</v>
      </c>
      <c r="AS5" s="75">
        <f>AR5+1</f>
        <v>46056</v>
      </c>
      <c r="AT5" s="75">
        <f t="shared" si="0"/>
        <v>46057</v>
      </c>
      <c r="AU5" s="75">
        <f t="shared" si="0"/>
        <v>46058</v>
      </c>
      <c r="AV5" s="75">
        <f t="shared" si="0"/>
        <v>46059</v>
      </c>
      <c r="AW5" s="75">
        <f t="shared" si="0"/>
        <v>46060</v>
      </c>
      <c r="AX5" s="76">
        <f t="shared" si="0"/>
        <v>46061</v>
      </c>
      <c r="AY5" s="74">
        <f>AX5+1</f>
        <v>46062</v>
      </c>
      <c r="AZ5" s="75">
        <f>AY5+1</f>
        <v>46063</v>
      </c>
      <c r="BA5" s="75">
        <f t="shared" ref="BA5:BE5" si="1">AZ5+1</f>
        <v>46064</v>
      </c>
      <c r="BB5" s="75">
        <f t="shared" si="1"/>
        <v>46065</v>
      </c>
      <c r="BC5" s="75">
        <f t="shared" si="1"/>
        <v>46066</v>
      </c>
      <c r="BD5" s="75">
        <f t="shared" si="1"/>
        <v>46067</v>
      </c>
      <c r="BE5" s="76">
        <f t="shared" si="1"/>
        <v>46068</v>
      </c>
      <c r="BF5" s="74">
        <f>BE5+1</f>
        <v>46069</v>
      </c>
      <c r="BG5" s="75">
        <f>BF5+1</f>
        <v>46070</v>
      </c>
      <c r="BH5" s="75">
        <f t="shared" ref="BH5:BL5" si="2">BG5+1</f>
        <v>46071</v>
      </c>
      <c r="BI5" s="75">
        <f t="shared" si="2"/>
        <v>46072</v>
      </c>
      <c r="BJ5" s="75">
        <f t="shared" si="2"/>
        <v>46073</v>
      </c>
      <c r="BK5" s="75">
        <f t="shared" si="2"/>
        <v>46074</v>
      </c>
      <c r="BL5" s="76">
        <f t="shared" si="2"/>
        <v>46075</v>
      </c>
      <c r="BM5" s="74">
        <f>BL5+1</f>
        <v>46076</v>
      </c>
      <c r="BN5" s="75">
        <f>BM5+1</f>
        <v>46077</v>
      </c>
      <c r="BO5" s="75">
        <f t="shared" ref="BO5" si="3">BN5+1</f>
        <v>46078</v>
      </c>
      <c r="BP5" s="75">
        <f t="shared" ref="BP5" si="4">BO5+1</f>
        <v>46079</v>
      </c>
      <c r="BQ5" s="75">
        <f t="shared" ref="BQ5" si="5">BP5+1</f>
        <v>46080</v>
      </c>
      <c r="BR5" s="75">
        <f t="shared" ref="BR5" si="6">BQ5+1</f>
        <v>46081</v>
      </c>
      <c r="BS5" s="76">
        <f t="shared" ref="BS5" si="7">BR5+1</f>
        <v>46082</v>
      </c>
      <c r="BT5" s="74">
        <f>BS5+1</f>
        <v>46083</v>
      </c>
      <c r="BU5" s="75">
        <f>BT5+1</f>
        <v>46084</v>
      </c>
      <c r="BV5" s="75">
        <f t="shared" ref="BV5" si="8">BU5+1</f>
        <v>46085</v>
      </c>
      <c r="BW5" s="75">
        <f t="shared" ref="BW5" si="9">BV5+1</f>
        <v>46086</v>
      </c>
      <c r="BX5" s="75">
        <f t="shared" ref="BX5" si="10">BW5+1</f>
        <v>46087</v>
      </c>
      <c r="BY5" s="75">
        <f t="shared" ref="BY5" si="11">BX5+1</f>
        <v>46088</v>
      </c>
      <c r="BZ5" s="76">
        <f t="shared" ref="BZ5" si="12">BY5+1</f>
        <v>46089</v>
      </c>
      <c r="CA5" s="74">
        <f>BZ5+1</f>
        <v>46090</v>
      </c>
      <c r="CB5" s="75">
        <f>CA5+1</f>
        <v>46091</v>
      </c>
      <c r="CC5" s="75">
        <f t="shared" ref="CC5" si="13">CB5+1</f>
        <v>46092</v>
      </c>
      <c r="CD5" s="75">
        <f t="shared" ref="CD5" si="14">CC5+1</f>
        <v>46093</v>
      </c>
      <c r="CE5" s="75">
        <f t="shared" ref="CE5" si="15">CD5+1</f>
        <v>46094</v>
      </c>
      <c r="CF5" s="75">
        <f t="shared" ref="CF5" si="16">CE5+1</f>
        <v>46095</v>
      </c>
      <c r="CG5" s="76">
        <f t="shared" ref="CG5" si="17">CF5+1</f>
        <v>46096</v>
      </c>
      <c r="CH5" s="74">
        <f>CG5+1</f>
        <v>46097</v>
      </c>
      <c r="CI5" s="75">
        <f>CH5+1</f>
        <v>46098</v>
      </c>
      <c r="CJ5" s="75">
        <f t="shared" ref="CJ5" si="18">CI5+1</f>
        <v>46099</v>
      </c>
      <c r="CK5" s="75">
        <f t="shared" ref="CK5" si="19">CJ5+1</f>
        <v>46100</v>
      </c>
      <c r="CL5" s="75">
        <f t="shared" ref="CL5" si="20">CK5+1</f>
        <v>46101</v>
      </c>
      <c r="CM5" s="75">
        <f t="shared" ref="CM5" si="21">CL5+1</f>
        <v>46102</v>
      </c>
      <c r="CN5" s="76">
        <f t="shared" ref="CN5" si="22">CM5+1</f>
        <v>46103</v>
      </c>
    </row>
    <row r="6" spans="1:92" ht="30" customHeight="1">
      <c r="A6" s="9" t="s">
        <v>12</v>
      </c>
      <c r="B6" s="35" t="s">
        <v>13</v>
      </c>
      <c r="C6" s="36"/>
      <c r="D6" s="36"/>
      <c r="E6" s="36" t="s">
        <v>14</v>
      </c>
      <c r="F6" s="36" t="s">
        <v>15</v>
      </c>
      <c r="G6" s="36"/>
      <c r="H6" s="36" t="s">
        <v>16</v>
      </c>
      <c r="I6" s="37" t="str">
        <f t="shared" ref="I6:AN6" si="23">LEFT(TEXT(I5,"aaa"),1)</f>
        <v>月</v>
      </c>
      <c r="J6" s="37" t="str">
        <f t="shared" si="23"/>
        <v>火</v>
      </c>
      <c r="K6" s="37" t="str">
        <f t="shared" si="23"/>
        <v>水</v>
      </c>
      <c r="L6" s="37" t="str">
        <f t="shared" si="23"/>
        <v>木</v>
      </c>
      <c r="M6" s="37" t="str">
        <f t="shared" si="23"/>
        <v>金</v>
      </c>
      <c r="N6" s="37" t="str">
        <f t="shared" si="23"/>
        <v>土</v>
      </c>
      <c r="O6" s="37" t="str">
        <f t="shared" si="23"/>
        <v>日</v>
      </c>
      <c r="P6" s="37" t="str">
        <f t="shared" si="23"/>
        <v>月</v>
      </c>
      <c r="Q6" s="37" t="str">
        <f t="shared" si="23"/>
        <v>火</v>
      </c>
      <c r="R6" s="37" t="str">
        <f t="shared" si="23"/>
        <v>水</v>
      </c>
      <c r="S6" s="37" t="str">
        <f t="shared" si="23"/>
        <v>木</v>
      </c>
      <c r="T6" s="37" t="str">
        <f t="shared" si="23"/>
        <v>金</v>
      </c>
      <c r="U6" s="37" t="str">
        <f t="shared" si="23"/>
        <v>土</v>
      </c>
      <c r="V6" s="37" t="str">
        <f t="shared" si="23"/>
        <v>日</v>
      </c>
      <c r="W6" s="37" t="str">
        <f t="shared" si="23"/>
        <v>月</v>
      </c>
      <c r="X6" s="37" t="str">
        <f t="shared" si="23"/>
        <v>火</v>
      </c>
      <c r="Y6" s="37" t="str">
        <f t="shared" si="23"/>
        <v>水</v>
      </c>
      <c r="Z6" s="37" t="str">
        <f t="shared" si="23"/>
        <v>木</v>
      </c>
      <c r="AA6" s="37" t="str">
        <f t="shared" si="23"/>
        <v>金</v>
      </c>
      <c r="AB6" s="37" t="str">
        <f t="shared" si="23"/>
        <v>土</v>
      </c>
      <c r="AC6" s="37" t="str">
        <f t="shared" si="23"/>
        <v>日</v>
      </c>
      <c r="AD6" s="37" t="str">
        <f t="shared" si="23"/>
        <v>月</v>
      </c>
      <c r="AE6" s="37" t="str">
        <f t="shared" si="23"/>
        <v>火</v>
      </c>
      <c r="AF6" s="37" t="str">
        <f t="shared" si="23"/>
        <v>水</v>
      </c>
      <c r="AG6" s="37" t="str">
        <f t="shared" si="23"/>
        <v>木</v>
      </c>
      <c r="AH6" s="37" t="str">
        <f t="shared" si="23"/>
        <v>金</v>
      </c>
      <c r="AI6" s="37" t="str">
        <f t="shared" si="23"/>
        <v>土</v>
      </c>
      <c r="AJ6" s="37" t="str">
        <f t="shared" si="23"/>
        <v>日</v>
      </c>
      <c r="AK6" s="37" t="str">
        <f t="shared" si="23"/>
        <v>月</v>
      </c>
      <c r="AL6" s="37" t="str">
        <f t="shared" si="23"/>
        <v>火</v>
      </c>
      <c r="AM6" s="37" t="str">
        <f t="shared" si="23"/>
        <v>水</v>
      </c>
      <c r="AN6" s="37" t="str">
        <f t="shared" si="23"/>
        <v>木</v>
      </c>
      <c r="AO6" s="37" t="str">
        <f t="shared" ref="AO6:BT6" si="24">LEFT(TEXT(AO5,"aaa"),1)</f>
        <v>金</v>
      </c>
      <c r="AP6" s="37" t="str">
        <f t="shared" si="24"/>
        <v>土</v>
      </c>
      <c r="AQ6" s="37" t="str">
        <f t="shared" si="24"/>
        <v>日</v>
      </c>
      <c r="AR6" s="37" t="str">
        <f t="shared" si="24"/>
        <v>月</v>
      </c>
      <c r="AS6" s="37" t="str">
        <f t="shared" si="24"/>
        <v>火</v>
      </c>
      <c r="AT6" s="37" t="str">
        <f t="shared" si="24"/>
        <v>水</v>
      </c>
      <c r="AU6" s="37" t="str">
        <f t="shared" si="24"/>
        <v>木</v>
      </c>
      <c r="AV6" s="37" t="str">
        <f t="shared" si="24"/>
        <v>金</v>
      </c>
      <c r="AW6" s="37" t="str">
        <f t="shared" si="24"/>
        <v>土</v>
      </c>
      <c r="AX6" s="37" t="str">
        <f t="shared" si="24"/>
        <v>日</v>
      </c>
      <c r="AY6" s="37" t="str">
        <f t="shared" si="24"/>
        <v>月</v>
      </c>
      <c r="AZ6" s="37" t="str">
        <f t="shared" si="24"/>
        <v>火</v>
      </c>
      <c r="BA6" s="37" t="str">
        <f t="shared" si="24"/>
        <v>水</v>
      </c>
      <c r="BB6" s="37" t="str">
        <f t="shared" si="24"/>
        <v>木</v>
      </c>
      <c r="BC6" s="37" t="str">
        <f t="shared" si="24"/>
        <v>金</v>
      </c>
      <c r="BD6" s="37" t="str">
        <f t="shared" si="24"/>
        <v>土</v>
      </c>
      <c r="BE6" s="37" t="str">
        <f t="shared" si="24"/>
        <v>日</v>
      </c>
      <c r="BF6" s="37" t="str">
        <f t="shared" si="24"/>
        <v>月</v>
      </c>
      <c r="BG6" s="37" t="str">
        <f t="shared" si="24"/>
        <v>火</v>
      </c>
      <c r="BH6" s="37" t="str">
        <f t="shared" si="24"/>
        <v>水</v>
      </c>
      <c r="BI6" s="37" t="str">
        <f t="shared" si="24"/>
        <v>木</v>
      </c>
      <c r="BJ6" s="37" t="str">
        <f t="shared" si="24"/>
        <v>金</v>
      </c>
      <c r="BK6" s="37" t="str">
        <f t="shared" si="24"/>
        <v>土</v>
      </c>
      <c r="BL6" s="37" t="str">
        <f t="shared" si="24"/>
        <v>日</v>
      </c>
      <c r="BM6" s="37" t="str">
        <f t="shared" ref="BM6:BZ6" si="25">LEFT(TEXT(BM5,"aaa"),1)</f>
        <v>月</v>
      </c>
      <c r="BN6" s="37" t="str">
        <f t="shared" si="25"/>
        <v>火</v>
      </c>
      <c r="BO6" s="37" t="str">
        <f t="shared" si="25"/>
        <v>水</v>
      </c>
      <c r="BP6" s="37" t="str">
        <f t="shared" si="25"/>
        <v>木</v>
      </c>
      <c r="BQ6" s="37" t="str">
        <f t="shared" si="25"/>
        <v>金</v>
      </c>
      <c r="BR6" s="37" t="str">
        <f t="shared" si="25"/>
        <v>土</v>
      </c>
      <c r="BS6" s="37" t="str">
        <f t="shared" si="25"/>
        <v>日</v>
      </c>
      <c r="BT6" s="37" t="str">
        <f t="shared" si="25"/>
        <v>月</v>
      </c>
      <c r="BU6" s="37" t="str">
        <f t="shared" si="25"/>
        <v>火</v>
      </c>
      <c r="BV6" s="37" t="str">
        <f t="shared" si="25"/>
        <v>水</v>
      </c>
      <c r="BW6" s="37" t="str">
        <f t="shared" si="25"/>
        <v>木</v>
      </c>
      <c r="BX6" s="37" t="str">
        <f t="shared" si="25"/>
        <v>金</v>
      </c>
      <c r="BY6" s="37" t="str">
        <f t="shared" si="25"/>
        <v>土</v>
      </c>
      <c r="BZ6" s="37" t="str">
        <f t="shared" si="25"/>
        <v>日</v>
      </c>
      <c r="CA6" s="37" t="str">
        <f t="shared" ref="CA6:CG6" si="26">LEFT(TEXT(CA5,"aaa"),1)</f>
        <v>月</v>
      </c>
      <c r="CB6" s="37" t="str">
        <f t="shared" si="26"/>
        <v>火</v>
      </c>
      <c r="CC6" s="37" t="str">
        <f t="shared" si="26"/>
        <v>水</v>
      </c>
      <c r="CD6" s="37" t="str">
        <f t="shared" si="26"/>
        <v>木</v>
      </c>
      <c r="CE6" s="37" t="str">
        <f t="shared" si="26"/>
        <v>金</v>
      </c>
      <c r="CF6" s="37" t="str">
        <f t="shared" si="26"/>
        <v>土</v>
      </c>
      <c r="CG6" s="37" t="str">
        <f t="shared" si="26"/>
        <v>日</v>
      </c>
      <c r="CH6" s="37" t="str">
        <f t="shared" ref="CH6:CN6" si="27">LEFT(TEXT(CH5,"aaa"),1)</f>
        <v>月</v>
      </c>
      <c r="CI6" s="37" t="str">
        <f t="shared" si="27"/>
        <v>火</v>
      </c>
      <c r="CJ6" s="37" t="str">
        <f t="shared" si="27"/>
        <v>水</v>
      </c>
      <c r="CK6" s="37" t="str">
        <f t="shared" si="27"/>
        <v>木</v>
      </c>
      <c r="CL6" s="37" t="str">
        <f t="shared" si="27"/>
        <v>金</v>
      </c>
      <c r="CM6" s="37" t="str">
        <f t="shared" si="27"/>
        <v>土</v>
      </c>
      <c r="CN6" s="37" t="str">
        <f t="shared" si="27"/>
        <v>日</v>
      </c>
    </row>
    <row r="7" spans="1:92" ht="30" hidden="1" customHeight="1" thickBot="1">
      <c r="A7" s="8" t="s">
        <v>17</v>
      </c>
      <c r="C7" s="10"/>
      <c r="E7"/>
      <c r="H7" t="str">
        <f ca="1">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row>
    <row r="8" spans="1:92" s="1" customFormat="1" ht="30" customHeight="1">
      <c r="A8" s="9" t="s">
        <v>18</v>
      </c>
      <c r="B8" s="38" t="s">
        <v>19</v>
      </c>
      <c r="C8" s="14"/>
      <c r="D8" s="39"/>
      <c r="E8" s="59">
        <v>45658</v>
      </c>
      <c r="F8" s="60">
        <v>46038</v>
      </c>
      <c r="G8" s="40"/>
      <c r="H8" s="40">
        <f t="shared" ref="H8:H33" ca="1" si="28">IF(OR(ISBLANK(タスク_開始),ISBLANK(タスク_終了)),"",タスク_終了-タスク_開始+1)</f>
        <v>381</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row>
    <row r="9" spans="1:92" s="1" customFormat="1" ht="30" customHeight="1">
      <c r="A9" s="9" t="s">
        <v>20</v>
      </c>
      <c r="B9" s="23" t="s">
        <v>21</v>
      </c>
      <c r="C9" s="15"/>
      <c r="D9" s="41"/>
      <c r="E9" s="61">
        <v>45992</v>
      </c>
      <c r="F9" s="61">
        <f>E9+1</f>
        <v>45993</v>
      </c>
      <c r="G9" s="40"/>
      <c r="H9" s="40">
        <f t="shared" ca="1" si="28"/>
        <v>2</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row>
    <row r="10" spans="1:92" s="1" customFormat="1" ht="30" customHeight="1">
      <c r="A10" s="9" t="s">
        <v>22</v>
      </c>
      <c r="B10" s="23" t="s">
        <v>23</v>
      </c>
      <c r="C10" s="15"/>
      <c r="D10" s="41"/>
      <c r="E10" s="61">
        <v>46023</v>
      </c>
      <c r="F10" s="61">
        <f>E10+15</f>
        <v>46038</v>
      </c>
      <c r="G10" s="40"/>
      <c r="H10" s="40">
        <f t="shared" ca="1" si="28"/>
        <v>16</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row>
    <row r="11" spans="1:92" s="1" customFormat="1" ht="30" customHeight="1">
      <c r="A11" s="8"/>
      <c r="B11" s="23" t="s">
        <v>24</v>
      </c>
      <c r="C11" s="15"/>
      <c r="D11" s="41"/>
      <c r="E11" s="61">
        <v>46023</v>
      </c>
      <c r="F11" s="61">
        <f>E11+8</f>
        <v>46031</v>
      </c>
      <c r="G11" s="40"/>
      <c r="H11" s="40">
        <f t="shared" ca="1" si="28"/>
        <v>9</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row>
    <row r="12" spans="1:92" s="1" customFormat="1" ht="30" customHeight="1">
      <c r="A12" s="8"/>
      <c r="B12" s="23" t="s">
        <v>25</v>
      </c>
      <c r="C12" s="15"/>
      <c r="D12" s="41"/>
      <c r="E12" s="61">
        <v>46032</v>
      </c>
      <c r="F12" s="61">
        <f>E12+3</f>
        <v>46035</v>
      </c>
      <c r="G12" s="40"/>
      <c r="H12" s="40">
        <f t="shared" ca="1" si="28"/>
        <v>4</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row>
    <row r="13" spans="1:92" s="1" customFormat="1" ht="30" customHeight="1">
      <c r="A13" s="8"/>
      <c r="B13" s="23" t="s">
        <v>26</v>
      </c>
      <c r="C13" s="15"/>
      <c r="D13" s="41"/>
      <c r="E13" s="61">
        <v>46036</v>
      </c>
      <c r="F13" s="61">
        <f>E13+2</f>
        <v>46038</v>
      </c>
      <c r="G13" s="40"/>
      <c r="H13" s="40">
        <f t="shared" ca="1" si="28"/>
        <v>3</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row>
    <row r="14" spans="1:92" s="1" customFormat="1" ht="30" customHeight="1">
      <c r="A14" s="9" t="s">
        <v>27</v>
      </c>
      <c r="B14" s="42" t="s">
        <v>28</v>
      </c>
      <c r="C14" s="16"/>
      <c r="D14" s="43"/>
      <c r="E14" s="62">
        <v>46041</v>
      </c>
      <c r="F14" s="63">
        <v>46059</v>
      </c>
      <c r="G14" s="40"/>
      <c r="H14" s="40">
        <f t="shared" ca="1" si="28"/>
        <v>19</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row>
    <row r="15" spans="1:92" s="1" customFormat="1" ht="30" customHeight="1">
      <c r="A15" s="9"/>
      <c r="B15" s="24" t="s">
        <v>29</v>
      </c>
      <c r="C15" s="17"/>
      <c r="D15" s="44"/>
      <c r="E15" s="64">
        <v>46041</v>
      </c>
      <c r="F15" s="64">
        <f>E15+5</f>
        <v>46046</v>
      </c>
      <c r="G15" s="40"/>
      <c r="H15" s="40">
        <f t="shared" ca="1" si="28"/>
        <v>6</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row>
    <row r="16" spans="1:92" s="1" customFormat="1" ht="30" customHeight="1">
      <c r="A16" s="8"/>
      <c r="B16" s="24" t="s">
        <v>30</v>
      </c>
      <c r="C16" s="17"/>
      <c r="D16" s="44"/>
      <c r="E16" s="64">
        <v>46047</v>
      </c>
      <c r="F16" s="64">
        <f>E16+2</f>
        <v>46049</v>
      </c>
      <c r="G16" s="40"/>
      <c r="H16" s="40">
        <f t="shared" ca="1" si="28"/>
        <v>3</v>
      </c>
      <c r="I16" s="5"/>
      <c r="J16" s="5"/>
      <c r="K16" s="5"/>
      <c r="L16" s="5"/>
      <c r="M16" s="5"/>
      <c r="N16" s="5"/>
      <c r="O16" s="5"/>
      <c r="P16" s="5"/>
      <c r="Q16" s="5"/>
      <c r="R16" s="5"/>
      <c r="S16" s="5"/>
      <c r="T16" s="5"/>
      <c r="U16" s="6"/>
      <c r="V16" s="6"/>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row>
    <row r="17" spans="1:92" s="1" customFormat="1" ht="30" customHeight="1">
      <c r="A17" s="8"/>
      <c r="B17" s="24" t="s">
        <v>31</v>
      </c>
      <c r="C17" s="17"/>
      <c r="D17" s="44"/>
      <c r="E17" s="64">
        <v>46050</v>
      </c>
      <c r="F17" s="64">
        <f>E17+3</f>
        <v>46053</v>
      </c>
      <c r="G17" s="40"/>
      <c r="H17" s="40">
        <f t="shared" ca="1" si="28"/>
        <v>4</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row>
    <row r="18" spans="1:92" s="1" customFormat="1" ht="30" customHeight="1">
      <c r="A18" s="8"/>
      <c r="B18" s="24" t="s">
        <v>32</v>
      </c>
      <c r="C18" s="17"/>
      <c r="D18" s="44"/>
      <c r="E18" s="64">
        <v>46054</v>
      </c>
      <c r="F18" s="64">
        <f>E18+2</f>
        <v>46056</v>
      </c>
      <c r="G18" s="40"/>
      <c r="H18" s="40">
        <f t="shared" ca="1" si="28"/>
        <v>3</v>
      </c>
      <c r="I18" s="5"/>
      <c r="J18" s="5"/>
      <c r="K18" s="5"/>
      <c r="L18" s="5"/>
      <c r="M18" s="5"/>
      <c r="N18" s="5"/>
      <c r="O18" s="5"/>
      <c r="P18" s="5"/>
      <c r="Q18" s="5"/>
      <c r="R18" s="5"/>
      <c r="S18" s="5"/>
      <c r="T18" s="5"/>
      <c r="U18" s="5"/>
      <c r="V18" s="5"/>
      <c r="W18" s="5"/>
      <c r="X18" s="5"/>
      <c r="Y18" s="6"/>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row>
    <row r="19" spans="1:92" s="1" customFormat="1" ht="30" customHeight="1">
      <c r="A19" s="8"/>
      <c r="B19" s="24" t="s">
        <v>33</v>
      </c>
      <c r="C19" s="17"/>
      <c r="D19" s="44"/>
      <c r="E19" s="64">
        <v>46057</v>
      </c>
      <c r="F19" s="64">
        <f>E19+2</f>
        <v>46059</v>
      </c>
      <c r="G19" s="40"/>
      <c r="H19" s="40">
        <f t="shared" ca="1" si="28"/>
        <v>3</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row>
    <row r="20" spans="1:92" s="1" customFormat="1" ht="30" customHeight="1">
      <c r="A20" s="8" t="s">
        <v>34</v>
      </c>
      <c r="B20" s="45" t="s">
        <v>35</v>
      </c>
      <c r="C20" s="18"/>
      <c r="D20" s="46"/>
      <c r="E20" s="65">
        <v>46062</v>
      </c>
      <c r="F20" s="66">
        <v>46080</v>
      </c>
      <c r="G20" s="40"/>
      <c r="H20" s="40">
        <f t="shared" ca="1" si="28"/>
        <v>19</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row>
    <row r="21" spans="1:92" s="1" customFormat="1" ht="30" customHeight="1">
      <c r="A21" s="8"/>
      <c r="B21" s="25" t="s">
        <v>36</v>
      </c>
      <c r="C21" s="19"/>
      <c r="D21" s="47"/>
      <c r="E21" s="67">
        <v>46062</v>
      </c>
      <c r="F21" s="67">
        <f>E21+3</f>
        <v>46065</v>
      </c>
      <c r="G21" s="40"/>
      <c r="H21" s="40">
        <f t="shared" ca="1" si="28"/>
        <v>4</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row>
    <row r="22" spans="1:92" s="1" customFormat="1" ht="30" customHeight="1">
      <c r="A22" s="8"/>
      <c r="B22" s="25" t="s">
        <v>37</v>
      </c>
      <c r="C22" s="19"/>
      <c r="D22" s="47"/>
      <c r="E22" s="67">
        <v>46066</v>
      </c>
      <c r="F22" s="67">
        <f>E22+4</f>
        <v>46070</v>
      </c>
      <c r="G22" s="40"/>
      <c r="H22" s="40">
        <f t="shared" ca="1" si="28"/>
        <v>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row>
    <row r="23" spans="1:92" s="1" customFormat="1" ht="30" customHeight="1">
      <c r="A23" s="8"/>
      <c r="B23" s="25" t="s">
        <v>38</v>
      </c>
      <c r="C23" s="19"/>
      <c r="D23" s="47"/>
      <c r="E23" s="67">
        <v>46071</v>
      </c>
      <c r="F23" s="67">
        <f>E23+4</f>
        <v>46075</v>
      </c>
      <c r="G23" s="40"/>
      <c r="H23" s="40">
        <f t="shared" ca="1" si="28"/>
        <v>5</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row>
    <row r="24" spans="1:92" s="1" customFormat="1" ht="30" customHeight="1">
      <c r="A24" s="8"/>
      <c r="B24" s="25" t="s">
        <v>39</v>
      </c>
      <c r="C24" s="19"/>
      <c r="D24" s="47"/>
      <c r="E24" s="67">
        <v>46076</v>
      </c>
      <c r="F24" s="67">
        <f>E24+1</f>
        <v>46077</v>
      </c>
      <c r="G24" s="40"/>
      <c r="H24" s="40">
        <f t="shared" ca="1" si="28"/>
        <v>2</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row>
    <row r="25" spans="1:92" s="1" customFormat="1" ht="30" customHeight="1">
      <c r="A25" s="8"/>
      <c r="B25" s="25" t="s">
        <v>40</v>
      </c>
      <c r="C25" s="19"/>
      <c r="D25" s="47"/>
      <c r="E25" s="67">
        <v>46078</v>
      </c>
      <c r="F25" s="67">
        <f>E25+2</f>
        <v>46080</v>
      </c>
      <c r="G25" s="40"/>
      <c r="H25" s="40">
        <f t="shared" ca="1" si="28"/>
        <v>3</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row>
    <row r="26" spans="1:92" s="1" customFormat="1" ht="30" customHeight="1">
      <c r="A26" s="8" t="s">
        <v>34</v>
      </c>
      <c r="B26" s="48" t="s">
        <v>41</v>
      </c>
      <c r="C26" s="20"/>
      <c r="D26" s="49"/>
      <c r="E26" s="68">
        <v>46083</v>
      </c>
      <c r="F26" s="69">
        <v>46097</v>
      </c>
      <c r="G26" s="40"/>
      <c r="H26" s="40">
        <f t="shared" ca="1" si="28"/>
        <v>15</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row>
    <row r="27" spans="1:92" s="1" customFormat="1" ht="30" customHeight="1">
      <c r="A27" s="8"/>
      <c r="B27" s="26" t="s">
        <v>42</v>
      </c>
      <c r="C27" s="21"/>
      <c r="D27" s="50"/>
      <c r="E27" s="70">
        <v>46083</v>
      </c>
      <c r="F27" s="70">
        <f>E27+3</f>
        <v>46086</v>
      </c>
      <c r="G27" s="40"/>
      <c r="H27" s="40">
        <f t="shared" ca="1" si="28"/>
        <v>4</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row>
    <row r="28" spans="1:92" s="1" customFormat="1" ht="30" customHeight="1">
      <c r="A28" s="8"/>
      <c r="B28" s="26" t="s">
        <v>43</v>
      </c>
      <c r="C28" s="21"/>
      <c r="D28" s="50"/>
      <c r="E28" s="70">
        <v>46087</v>
      </c>
      <c r="F28" s="70">
        <f t="shared" ref="F28:F31" si="29">E28+2</f>
        <v>46089</v>
      </c>
      <c r="G28" s="40"/>
      <c r="H28" s="40">
        <f t="shared" ca="1" si="28"/>
        <v>3</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row>
    <row r="29" spans="1:92" s="1" customFormat="1" ht="30" customHeight="1">
      <c r="A29" s="8"/>
      <c r="B29" s="26" t="s">
        <v>44</v>
      </c>
      <c r="C29" s="21"/>
      <c r="D29" s="50"/>
      <c r="E29" s="70">
        <v>46090</v>
      </c>
      <c r="F29" s="70">
        <f>E29+3</f>
        <v>46093</v>
      </c>
      <c r="G29" s="40"/>
      <c r="H29" s="40">
        <f t="shared" ca="1" si="28"/>
        <v>4</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row>
    <row r="30" spans="1:92" s="1" customFormat="1" ht="30" customHeight="1">
      <c r="A30" s="8"/>
      <c r="B30" s="26" t="s">
        <v>45</v>
      </c>
      <c r="C30" s="21"/>
      <c r="D30" s="50"/>
      <c r="E30" s="70">
        <v>46094</v>
      </c>
      <c r="F30" s="70">
        <f>E30+1</f>
        <v>46095</v>
      </c>
      <c r="G30" s="40"/>
      <c r="H30" s="40">
        <f t="shared" ca="1" si="28"/>
        <v>2</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row>
    <row r="31" spans="1:92" s="1" customFormat="1" ht="30" customHeight="1">
      <c r="A31" s="8"/>
      <c r="B31" s="26" t="s">
        <v>46</v>
      </c>
      <c r="C31" s="21"/>
      <c r="D31" s="50"/>
      <c r="E31" s="70">
        <v>46096</v>
      </c>
      <c r="F31" s="70">
        <f>E31+1</f>
        <v>46097</v>
      </c>
      <c r="G31" s="40"/>
      <c r="H31" s="40">
        <f t="shared" ca="1" si="28"/>
        <v>2</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row>
    <row r="32" spans="1:92" s="1" customFormat="1" ht="30" customHeight="1">
      <c r="A32" s="8" t="s">
        <v>47</v>
      </c>
      <c r="B32" s="27"/>
      <c r="C32" s="22"/>
      <c r="D32" s="51"/>
      <c r="E32" s="71"/>
      <c r="F32" s="71"/>
      <c r="G32" s="40"/>
      <c r="H32" s="40" t="str">
        <f t="shared" ca="1" si="28"/>
        <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row>
    <row r="33" spans="1:92" s="1" customFormat="1" ht="30" customHeight="1">
      <c r="A33" s="9" t="s">
        <v>48</v>
      </c>
      <c r="B33" s="52" t="s">
        <v>49</v>
      </c>
      <c r="C33" s="53"/>
      <c r="D33" s="54"/>
      <c r="E33" s="72"/>
      <c r="F33" s="73"/>
      <c r="G33" s="55"/>
      <c r="H33" s="55" t="str">
        <f t="shared" ca="1" si="28"/>
        <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row>
    <row r="34" spans="1:92" ht="30" customHeight="1">
      <c r="G34" s="3"/>
    </row>
    <row r="35" spans="1:92" ht="30" customHeight="1">
      <c r="C35" s="56"/>
      <c r="F35" s="57"/>
    </row>
    <row r="36" spans="1:92" ht="30" customHeight="1">
      <c r="C36" s="58"/>
    </row>
  </sheetData>
  <mergeCells count="15">
    <mergeCell ref="C3:D3"/>
    <mergeCell ref="C4:D4"/>
    <mergeCell ref="AK4:AQ4"/>
    <mergeCell ref="AR4:AX4"/>
    <mergeCell ref="AY4:BE4"/>
    <mergeCell ref="E3:F3"/>
    <mergeCell ref="I4:O4"/>
    <mergeCell ref="P4:V4"/>
    <mergeCell ref="W4:AC4"/>
    <mergeCell ref="AD4:AJ4"/>
    <mergeCell ref="BM4:BS4"/>
    <mergeCell ref="BT4:BZ4"/>
    <mergeCell ref="CA4:CG4"/>
    <mergeCell ref="CH4:CN4"/>
    <mergeCell ref="BF4:BL4"/>
  </mergeCells>
  <phoneticPr fontId="29"/>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N33">
    <cfRule type="expression" dxfId="2" priority="33">
      <formula>AND(TODAY()&gt;=I$5,TODAY()&lt;J$5)</formula>
    </cfRule>
  </conditionalFormatting>
  <conditionalFormatting sqref="I7:CN33">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32" max="16383" man="1"/>
  </rowBreaks>
  <colBreaks count="1" manualBreakCount="1">
    <brk id="1" max="1048575" man="1"/>
  </colBreaks>
  <ignoredErrors>
    <ignoredError sqref="F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4944C-1F1D-4162-962A-96F3FC8455D8}"/>
</file>

<file path=customXml/itemProps2.xml><?xml version="1.0" encoding="utf-8"?>
<ds:datastoreItem xmlns:ds="http://schemas.openxmlformats.org/officeDocument/2006/customXml" ds:itemID="{708DBB9E-6D89-4A94-9DC5-964B7833E11C}"/>
</file>

<file path=customXml/itemProps3.xml><?xml version="1.0" encoding="utf-8"?>
<ds:datastoreItem xmlns:ds="http://schemas.openxmlformats.org/officeDocument/2006/customXml" ds:itemID="{8FE8ED85-58B3-4608-8E91-0433556D50CE}"/>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前田 恭兵</cp:lastModifiedBy>
  <cp:revision/>
  <dcterms:created xsi:type="dcterms:W3CDTF">2026-01-08T07:14:04Z</dcterms:created>
  <dcterms:modified xsi:type="dcterms:W3CDTF">2026-01-08T07:49:28Z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